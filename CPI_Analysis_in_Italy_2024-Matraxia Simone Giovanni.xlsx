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mt\Desktop\SM\UNIVERSITA\L-8\❸° ANNO\✅ SISTEMI DI ELABORAZIONE DELLE INFORMAZIONI e INFORMATICA ANALISI SPORTIVA\elaborato\ENG\"/>
    </mc:Choice>
  </mc:AlternateContent>
  <xr:revisionPtr revIDLastSave="0" documentId="13_ncr:1_{E134BDFF-6C65-4AB9-B7FC-BD2918467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 Data" sheetId="1" r:id="rId1"/>
    <sheet name="FOI ANALYSIS" sheetId="2" r:id="rId2"/>
    <sheet name="Moving Average" sheetId="5" r:id="rId3"/>
    <sheet name="Prices Chart" sheetId="6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8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C8" i="1"/>
  <c r="D8" i="1"/>
  <c r="E8" i="1"/>
  <c r="F8" i="1"/>
  <c r="E10" i="2" s="1"/>
  <c r="G8" i="1"/>
  <c r="H8" i="1"/>
  <c r="I8" i="1"/>
  <c r="J8" i="1"/>
  <c r="K8" i="1"/>
  <c r="F13" i="2" s="1"/>
  <c r="L8" i="1"/>
  <c r="M8" i="1"/>
  <c r="B8" i="1"/>
  <c r="K8" i="2"/>
  <c r="A2" i="6"/>
  <c r="A2" i="5"/>
  <c r="C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8" i="2"/>
  <c r="A2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E13" i="2"/>
  <c r="F12" i="2"/>
  <c r="F9" i="2"/>
  <c r="E19" i="2"/>
  <c r="F16" i="2"/>
  <c r="E14" i="2"/>
  <c r="F10" i="2"/>
  <c r="G10" i="2"/>
  <c r="G11" i="2"/>
  <c r="G12" i="2"/>
  <c r="G13" i="2"/>
  <c r="G14" i="2"/>
  <c r="G15" i="2"/>
  <c r="G16" i="2"/>
  <c r="G17" i="2"/>
  <c r="G18" i="2"/>
  <c r="G19" i="2"/>
  <c r="G20" i="2"/>
  <c r="G21" i="2"/>
  <c r="G9" i="2"/>
  <c r="G8" i="2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F9" i="5"/>
  <c r="G9" i="5"/>
  <c r="H9" i="5"/>
  <c r="I9" i="5"/>
  <c r="J9" i="5"/>
  <c r="K9" i="5"/>
  <c r="D9" i="5"/>
  <c r="E9" i="5"/>
  <c r="C9" i="5"/>
  <c r="B9" i="5"/>
  <c r="D12" i="2" l="1"/>
  <c r="D13" i="2"/>
  <c r="D8" i="2"/>
  <c r="E17" i="2"/>
  <c r="D9" i="2"/>
  <c r="E9" i="2"/>
  <c r="D21" i="2"/>
  <c r="D20" i="2"/>
  <c r="D19" i="2"/>
  <c r="D18" i="2"/>
  <c r="D17" i="2"/>
  <c r="D16" i="2"/>
  <c r="D15" i="2"/>
  <c r="D14" i="2"/>
  <c r="D11" i="2"/>
  <c r="D10" i="2"/>
  <c r="E11" i="2"/>
  <c r="E8" i="2"/>
  <c r="F20" i="2"/>
  <c r="E21" i="2"/>
  <c r="F19" i="2"/>
  <c r="F21" i="2"/>
  <c r="F18" i="2"/>
  <c r="F8" i="2"/>
  <c r="F17" i="2"/>
  <c r="E18" i="2"/>
  <c r="F15" i="2"/>
  <c r="E16" i="2"/>
  <c r="F14" i="2"/>
  <c r="E20" i="2"/>
  <c r="E15" i="2"/>
  <c r="F11" i="2"/>
  <c r="E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C9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D9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E9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F9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G9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H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I9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J9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K9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L9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  <comment ref="M9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Stato dell'osservazione: [t] È voce da considerarsi come titolo di raggruppamento</t>
        </r>
      </text>
    </comment>
  </commentList>
</comments>
</file>

<file path=xl/sharedStrings.xml><?xml version="1.0" encoding="utf-8"?>
<sst xmlns="http://schemas.openxmlformats.org/spreadsheetml/2006/main" count="101" uniqueCount="86">
  <si>
    <t xml:space="preserve">2024-01  </t>
  </si>
  <si>
    <t xml:space="preserve">2024-02  </t>
  </si>
  <si>
    <t xml:space="preserve">2024-03  </t>
  </si>
  <si>
    <t xml:space="preserve">2024-04  </t>
  </si>
  <si>
    <t xml:space="preserve">2024-05  </t>
  </si>
  <si>
    <t xml:space="preserve">2024-06  </t>
  </si>
  <si>
    <t xml:space="preserve">2024-07  </t>
  </si>
  <si>
    <t xml:space="preserve">2024-08  </t>
  </si>
  <si>
    <t xml:space="preserve">2024-09  </t>
  </si>
  <si>
    <t xml:space="preserve">2024-10  </t>
  </si>
  <si>
    <t xml:space="preserve">2024-11  </t>
  </si>
  <si>
    <t xml:space="preserve">2024-12  </t>
  </si>
  <si>
    <t xml:space="preserve">[OR0] COICOP_2015  </t>
  </si>
  <si>
    <t>..</t>
  </si>
  <si>
    <t>FEB MAR APR</t>
  </si>
  <si>
    <t xml:space="preserve">Frequency: [M] Monthly  </t>
  </si>
  <si>
    <t xml:space="preserve">Territory: [IT] Italy  </t>
  </si>
  <si>
    <t xml:space="preserve">Indicator: [55] Consumer price index for blue and white-collar worker households (base 2015=100) - monthly data  </t>
  </si>
  <si>
    <t xml:space="preserve">Measure: [4] Index number  </t>
  </si>
  <si>
    <t xml:space="preserve">Time  </t>
  </si>
  <si>
    <t xml:space="preserve">ECOICOP Rev. Istat  </t>
  </si>
  <si>
    <t xml:space="preserve">[00] All items  </t>
  </si>
  <si>
    <t xml:space="preserve">[01] -- food and non-alcoholic beverages  </t>
  </si>
  <si>
    <t xml:space="preserve">[02] -- alcoholic beverages and tobacco  </t>
  </si>
  <si>
    <t xml:space="preserve">[03] -- clothing and footwear  </t>
  </si>
  <si>
    <t xml:space="preserve">[04] -- housing, water, electricity, gas and other fuels  </t>
  </si>
  <si>
    <t xml:space="preserve">[05] -- furnishings, household equipment and routine household maintenance  </t>
  </si>
  <si>
    <t xml:space="preserve">[06] -- health  </t>
  </si>
  <si>
    <t xml:space="preserve">[07] -- transport  </t>
  </si>
  <si>
    <t xml:space="preserve">[08] -- communication  </t>
  </si>
  <si>
    <t xml:space="preserve">[09] -- recreation and culture  </t>
  </si>
  <si>
    <t xml:space="preserve">[10] -- education  </t>
  </si>
  <si>
    <t xml:space="preserve">[11] -- restaurants and hotels  </t>
  </si>
  <si>
    <t xml:space="preserve">[12] -- miscellaneous goods and services  </t>
  </si>
  <si>
    <t xml:space="preserve">[00ST] All items excluded tobacco  </t>
  </si>
  <si>
    <t>ANALYSIS</t>
  </si>
  <si>
    <t>ECOICOP Code</t>
  </si>
  <si>
    <t>2024 Average</t>
  </si>
  <si>
    <t>Category Rank</t>
  </si>
  <si>
    <t>2024 Maximum Value</t>
  </si>
  <si>
    <t xml:space="preserve"> 2024 Minimum Value</t>
  </si>
  <si>
    <t>Absolute Difference (Jan-Dec Net Variation)</t>
  </si>
  <si>
    <t>Stable and Low Trend Categories</t>
  </si>
  <si>
    <t>Categories with Constant Price Increase</t>
  </si>
  <si>
    <t>Data Completeness and Missing Values Check</t>
  </si>
  <si>
    <t>Food and Transport Correlation</t>
  </si>
  <si>
    <t>Months</t>
  </si>
  <si>
    <t>Quarterly Moving Average</t>
  </si>
  <si>
    <t>JAN FEB MAR</t>
  </si>
  <si>
    <t>MAR APR MAY</t>
  </si>
  <si>
    <t>APR MAY JUN</t>
  </si>
  <si>
    <t>MAY JUN JUL</t>
  </si>
  <si>
    <t>JUN JUL AUG</t>
  </si>
  <si>
    <t>JUL AUG SEP</t>
  </si>
  <si>
    <t>AUG SEP OCT</t>
  </si>
  <si>
    <t>SEP OCT NOV</t>
  </si>
  <si>
    <t>OCT NOV DEC</t>
  </si>
  <si>
    <t>All items</t>
  </si>
  <si>
    <t>food and non-alcoholic beverages</t>
  </si>
  <si>
    <t xml:space="preserve">food and non-alcoholic beverages 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</si>
  <si>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</si>
  <si>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</si>
  <si>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</si>
  <si>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</si>
  <si>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</si>
  <si>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</si>
  <si>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</si>
  <si>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</si>
  <si>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</si>
  <si>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</si>
  <si>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transport</t>
  </si>
  <si>
    <t>health</t>
  </si>
  <si>
    <t>Foi - Monthly Trend Chart</t>
  </si>
  <si>
    <t>Foi - 2024 Quarterly Moving Average</t>
  </si>
  <si>
    <t>Foi - 2024 Data Analysis</t>
  </si>
  <si>
    <t>Foi - 2024 monthly data</t>
  </si>
  <si>
    <t>furnishings, household equipment and routine household maintenance</t>
  </si>
  <si>
    <t>housing, water, electricity, gas and other fuels</t>
  </si>
  <si>
    <t>clothing and footwear</t>
  </si>
  <si>
    <t>alcoholic beverages and tobacco</t>
  </si>
  <si>
    <t>communication</t>
  </si>
  <si>
    <t>recreation and culture</t>
  </si>
  <si>
    <t>education</t>
  </si>
  <si>
    <t>restaurants and hotels</t>
  </si>
  <si>
    <t>miscellaneous goods and services</t>
  </si>
  <si>
    <t>All items excluded 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</si>
</sst>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  <font>
      <i/>
      <sz val="11"/>
      <name val="Calibri"/>
      <family val="2"/>
    </font>
    <font>
      <b/>
      <sz val="11"/>
      <name val="Calibri"/>
      <family val="2"/>
    </font>
    <font>
      <i/>
      <u/>
      <sz val="11"/>
      <name val="Calibri"/>
      <family val="2"/>
    </font>
    <font>
      <u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4" borderId="2" xfId="0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0" xfId="0" applyBorder="1"/>
    <xf numFmtId="0" fontId="0" fillId="7" borderId="2" xfId="0" applyFill="1" applyBorder="1" applyAlignment="1">
      <alignment horizontal="left" vertical="center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2" fontId="0" fillId="0" borderId="2" xfId="0" applyNumberFormat="1" applyBorder="1" applyAlignment="1">
      <alignment horizontal="right"/>
    </xf>
    <xf numFmtId="0" fontId="0" fillId="2" borderId="2" xfId="0" applyNumberFormat="1" applyFill="1" applyBorder="1" applyAlignment="1">
      <alignment horizontal="left" vertical="top" wrapText="1"/>
    </xf>
    <xf numFmtId="22" fontId="0" fillId="0" borderId="0" xfId="0" applyNumberFormat="1" applyAlignment="1">
      <alignment horizontal="left"/>
    </xf>
    <xf numFmtId="1" fontId="0" fillId="0" borderId="2" xfId="0" applyNumberFormat="1" applyBorder="1" applyAlignment="1">
      <alignment horizontal="right"/>
    </xf>
    <xf numFmtId="0" fontId="6" fillId="2" borderId="2" xfId="0" applyFont="1" applyFill="1" applyBorder="1" applyAlignment="1">
      <alignment vertical="top"/>
    </xf>
    <xf numFmtId="0" fontId="7" fillId="0" borderId="0" xfId="0" applyFont="1"/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ont="1" applyBorder="1"/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2" fontId="0" fillId="0" borderId="3" xfId="0" applyNumberForma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00" b="1" i="0" u="none" strike="noStrike" cap="all" normalizeH="0" baseline="0"/>
              <a:t>Monthly Trend in Communication and Education Prices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6474950323929657"/>
          <c:y val="7.427658774896656E-2"/>
          <c:w val="0.8352504967607034"/>
          <c:h val="0.83695372351285857"/>
        </c:manualLayout>
      </c:layout>
      <c:lineChart>
        <c:grouping val="standard"/>
        <c:varyColors val="0"/>
        <c:ser>
          <c:idx val="0"/>
          <c:order val="0"/>
          <c:tx>
            <c:strRef>
              <c:f>'2024 Data'!$A$18</c:f>
              <c:strCache>
                <c:ptCount val="1"/>
                <c:pt idx="0">
                  <c:v>[08] -- communication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'2024 Data'!$B$7:$M$7</c:f>
              <c:strCache>
                <c:ptCount val="12"/>
                <c:pt idx="0">
                  <c:v>2024-01  </c:v>
                </c:pt>
                <c:pt idx="1">
                  <c:v>2024-02  </c:v>
                </c:pt>
                <c:pt idx="2">
                  <c:v>2024-03  </c:v>
                </c:pt>
                <c:pt idx="3">
                  <c:v>2024-04  </c:v>
                </c:pt>
                <c:pt idx="4">
                  <c:v>2024-05  </c:v>
                </c:pt>
                <c:pt idx="5">
                  <c:v>2024-06  </c:v>
                </c:pt>
                <c:pt idx="6">
                  <c:v>2024-07  </c:v>
                </c:pt>
                <c:pt idx="7">
                  <c:v>2024-08  </c:v>
                </c:pt>
                <c:pt idx="8">
                  <c:v>2024-09  </c:v>
                </c:pt>
                <c:pt idx="9">
                  <c:v>2024-10  </c:v>
                </c:pt>
                <c:pt idx="10">
                  <c:v>2024-11  </c:v>
                </c:pt>
                <c:pt idx="11">
                  <c:v>2024-12  </c:v>
                </c:pt>
              </c:strCache>
            </c:strRef>
          </c:cat>
          <c:val>
            <c:numRef>
              <c:f>'2024 Data'!$B$18:$M$18</c:f>
              <c:numCache>
                <c:formatCode>#,##0.0</c:formatCode>
                <c:ptCount val="12"/>
                <c:pt idx="0">
                  <c:v>72.7</c:v>
                </c:pt>
                <c:pt idx="1">
                  <c:v>71.900000000000006</c:v>
                </c:pt>
                <c:pt idx="2">
                  <c:v>71.5</c:v>
                </c:pt>
                <c:pt idx="3" formatCode="#,##0">
                  <c:v>71</c:v>
                </c:pt>
                <c:pt idx="4">
                  <c:v>70.099999999999994</c:v>
                </c:pt>
                <c:pt idx="5">
                  <c:v>69.900000000000006</c:v>
                </c:pt>
                <c:pt idx="6">
                  <c:v>69.5</c:v>
                </c:pt>
                <c:pt idx="7">
                  <c:v>69.2</c:v>
                </c:pt>
                <c:pt idx="8">
                  <c:v>69.2</c:v>
                </c:pt>
                <c:pt idx="9" formatCode="#,##0">
                  <c:v>69</c:v>
                </c:pt>
                <c:pt idx="10" formatCode="#,##0">
                  <c:v>68</c:v>
                </c:pt>
                <c:pt idx="11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90-4730-8DDD-05766C6B16D6}"/>
            </c:ext>
          </c:extLst>
        </c:ser>
        <c:ser>
          <c:idx val="1"/>
          <c:order val="1"/>
          <c:tx>
            <c:strRef>
              <c:f>'2024 Data'!$A$20</c:f>
              <c:strCache>
                <c:ptCount val="1"/>
                <c:pt idx="0">
                  <c:v>[10] -- education 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'2024 Data'!$B$7:$M$7</c:f>
              <c:strCache>
                <c:ptCount val="12"/>
                <c:pt idx="0">
                  <c:v>2024-01  </c:v>
                </c:pt>
                <c:pt idx="1">
                  <c:v>2024-02  </c:v>
                </c:pt>
                <c:pt idx="2">
                  <c:v>2024-03  </c:v>
                </c:pt>
                <c:pt idx="3">
                  <c:v>2024-04  </c:v>
                </c:pt>
                <c:pt idx="4">
                  <c:v>2024-05  </c:v>
                </c:pt>
                <c:pt idx="5">
                  <c:v>2024-06  </c:v>
                </c:pt>
                <c:pt idx="6">
                  <c:v>2024-07  </c:v>
                </c:pt>
                <c:pt idx="7">
                  <c:v>2024-08  </c:v>
                </c:pt>
                <c:pt idx="8">
                  <c:v>2024-09  </c:v>
                </c:pt>
                <c:pt idx="9">
                  <c:v>2024-10  </c:v>
                </c:pt>
                <c:pt idx="10">
                  <c:v>2024-11  </c:v>
                </c:pt>
                <c:pt idx="11">
                  <c:v>2024-12  </c:v>
                </c:pt>
              </c:strCache>
            </c:strRef>
          </c:cat>
          <c:val>
            <c:numRef>
              <c:f>'2024 Data'!$B$20:$M$20</c:f>
              <c:numCache>
                <c:formatCode>#,##0.0</c:formatCode>
                <c:ptCount val="12"/>
                <c:pt idx="0">
                  <c:v>88.3</c:v>
                </c:pt>
                <c:pt idx="1">
                  <c:v>88.3</c:v>
                </c:pt>
                <c:pt idx="2">
                  <c:v>88.3</c:v>
                </c:pt>
                <c:pt idx="3">
                  <c:v>88.3</c:v>
                </c:pt>
                <c:pt idx="4">
                  <c:v>88.3</c:v>
                </c:pt>
                <c:pt idx="5">
                  <c:v>88.3</c:v>
                </c:pt>
                <c:pt idx="6">
                  <c:v>88.3</c:v>
                </c:pt>
                <c:pt idx="7">
                  <c:v>88.4</c:v>
                </c:pt>
                <c:pt idx="8" formatCode="#,##0">
                  <c:v>89</c:v>
                </c:pt>
                <c:pt idx="9">
                  <c:v>90.6</c:v>
                </c:pt>
                <c:pt idx="10">
                  <c:v>90.7</c:v>
                </c:pt>
                <c:pt idx="11">
                  <c:v>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90-4730-8DDD-05766C6B1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36176"/>
        <c:axId val="581462960"/>
      </c:lineChart>
      <c:catAx>
        <c:axId val="69973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1462960"/>
        <c:crosses val="autoZero"/>
        <c:auto val="1"/>
        <c:lblAlgn val="ctr"/>
        <c:lblOffset val="100"/>
        <c:noMultiLvlLbl val="0"/>
      </c:catAx>
      <c:valAx>
        <c:axId val="581462960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PRICE</a:t>
                </a:r>
              </a:p>
            </c:rich>
          </c:tx>
          <c:layout>
            <c:manualLayout>
              <c:xMode val="edge"/>
              <c:yMode val="edge"/>
              <c:x val="7.0820565866057825E-2"/>
              <c:y val="0.42293007483421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.##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9736176"/>
        <c:crosses val="autoZero"/>
        <c:crossBetween val="between"/>
        <c:majorUnit val="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7621</xdr:rowOff>
    </xdr:from>
    <xdr:to>
      <xdr:col>12</xdr:col>
      <xdr:colOff>354330</xdr:colOff>
      <xdr:row>43</xdr:row>
      <xdr:rowOff>78106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342B689-CF30-435E-91E2-96B5BED9F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A23" sqref="A23"/>
    </sheetView>
  </sheetViews>
  <sheetFormatPr defaultColWidth="25" defaultRowHeight="14.4" x14ac:dyDescent="0.3"/>
  <cols>
    <col min="1" max="1" width="67.88671875" customWidth="1"/>
    <col min="2" max="2" width="9.33203125" bestFit="1" customWidth="1"/>
    <col min="3" max="3" width="10" bestFit="1" customWidth="1"/>
    <col min="4" max="4" width="8" bestFit="1" customWidth="1"/>
    <col min="5" max="5" width="7.6640625" bestFit="1" customWidth="1"/>
    <col min="6" max="6" width="8.33203125" customWidth="1"/>
    <col min="7" max="7" width="8.77734375" bestFit="1" customWidth="1"/>
    <col min="8" max="8" width="7.88671875" bestFit="1" customWidth="1"/>
    <col min="9" max="9" width="8.77734375" bestFit="1" customWidth="1"/>
    <col min="10" max="10" width="11.44140625" bestFit="1" customWidth="1"/>
    <col min="11" max="11" width="9.5546875" bestFit="1" customWidth="1"/>
    <col min="12" max="12" width="11.5546875" bestFit="1" customWidth="1"/>
    <col min="13" max="13" width="10.44140625" bestFit="1" customWidth="1"/>
  </cols>
  <sheetData>
    <row r="1" spans="1:13" x14ac:dyDescent="0.3">
      <c r="A1" s="33" t="s">
        <v>75</v>
      </c>
    </row>
    <row r="2" spans="1:13" x14ac:dyDescent="0.3">
      <c r="A2" s="6" t="s">
        <v>15</v>
      </c>
    </row>
    <row r="3" spans="1:13" x14ac:dyDescent="0.3">
      <c r="A3" s="6" t="s">
        <v>16</v>
      </c>
      <c r="E3" s="15"/>
      <c r="G3" s="32"/>
      <c r="M3" s="26"/>
    </row>
    <row r="4" spans="1:13" x14ac:dyDescent="0.3">
      <c r="A4" s="27" t="s">
        <v>17</v>
      </c>
      <c r="B4" s="28"/>
      <c r="C4" s="28"/>
      <c r="D4" s="29"/>
      <c r="E4" s="30"/>
      <c r="F4" s="31"/>
      <c r="G4" s="15"/>
      <c r="H4" s="15"/>
      <c r="I4" s="15"/>
      <c r="J4" s="15"/>
      <c r="K4" s="15"/>
    </row>
    <row r="5" spans="1:13" x14ac:dyDescent="0.3">
      <c r="A5" s="6" t="s">
        <v>18</v>
      </c>
      <c r="F5" s="15"/>
    </row>
    <row r="7" spans="1:13" x14ac:dyDescent="0.3">
      <c r="A7" s="5" t="s">
        <v>19</v>
      </c>
      <c r="B7" s="22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</row>
    <row r="8" spans="1:13" x14ac:dyDescent="0.3">
      <c r="A8" s="5" t="s">
        <v>20</v>
      </c>
      <c r="B8" s="25" t="str">
        <f>CHOOSE(VALUE(RIGHT(TRIM(B7),2)), "JANUARY", "FEBRUARY", "MARCH", "APRIL", "MAY", "JUNE", "JULY", "AUGUST", "SEPTEMBER", "OCTOBER", "NOVEMBER", "DECEMBER")</f>
        <v>JANUARY</v>
      </c>
      <c r="C8" s="25" t="str">
        <f t="shared" ref="C8:M8" si="0">CHOOSE(VALUE(RIGHT(TRIM(C7),2)), "JANUARY", "FEBRUARY", "MARCH", "APRIL", "MAY", "JUNE", "JULY", "AUGUST", "SEPTEMBER", "OCTOBER", "NOVEMBER", "DECEMBER")</f>
        <v>FEBRUARY</v>
      </c>
      <c r="D8" s="25" t="str">
        <f t="shared" si="0"/>
        <v>MARCH</v>
      </c>
      <c r="E8" s="25" t="str">
        <f t="shared" si="0"/>
        <v>APRIL</v>
      </c>
      <c r="F8" s="25" t="str">
        <f t="shared" si="0"/>
        <v>MAY</v>
      </c>
      <c r="G8" s="25" t="str">
        <f t="shared" si="0"/>
        <v>JUNE</v>
      </c>
      <c r="H8" s="25" t="str">
        <f t="shared" si="0"/>
        <v>JULY</v>
      </c>
      <c r="I8" s="25" t="str">
        <f t="shared" si="0"/>
        <v>AUGUST</v>
      </c>
      <c r="J8" s="25" t="str">
        <f t="shared" si="0"/>
        <v>SEPTEMBER</v>
      </c>
      <c r="K8" s="25" t="str">
        <f t="shared" si="0"/>
        <v>OCTOBER</v>
      </c>
      <c r="L8" s="25" t="str">
        <f t="shared" si="0"/>
        <v>NOVEMBER</v>
      </c>
      <c r="M8" s="25" t="str">
        <f t="shared" si="0"/>
        <v>DECEMBER</v>
      </c>
    </row>
    <row r="9" spans="1:13" x14ac:dyDescent="0.3">
      <c r="A9" s="4" t="s">
        <v>12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x14ac:dyDescent="0.3">
      <c r="A10" s="4" t="s">
        <v>21</v>
      </c>
      <c r="B10" s="1">
        <v>119.2</v>
      </c>
      <c r="C10" s="1">
        <v>119.3</v>
      </c>
      <c r="D10" s="1">
        <v>119.3</v>
      </c>
      <c r="E10" s="1">
        <v>119.3</v>
      </c>
      <c r="F10" s="1">
        <v>119.5</v>
      </c>
      <c r="G10" s="1">
        <v>119.5</v>
      </c>
      <c r="H10" s="2">
        <v>120</v>
      </c>
      <c r="I10" s="1">
        <v>120.1</v>
      </c>
      <c r="J10" s="2">
        <v>120</v>
      </c>
      <c r="K10" s="2">
        <v>120</v>
      </c>
      <c r="L10" s="2">
        <v>120</v>
      </c>
      <c r="M10" s="1">
        <v>120.2</v>
      </c>
    </row>
    <row r="11" spans="1:13" x14ac:dyDescent="0.3">
      <c r="A11" s="4" t="s">
        <v>22</v>
      </c>
      <c r="B11" s="2">
        <v>130</v>
      </c>
      <c r="C11" s="1">
        <v>129.69999999999999</v>
      </c>
      <c r="D11" s="1">
        <v>129.5</v>
      </c>
      <c r="E11" s="1">
        <v>129.5</v>
      </c>
      <c r="F11" s="1">
        <v>130.1</v>
      </c>
      <c r="G11" s="1">
        <v>129.9</v>
      </c>
      <c r="H11" s="1">
        <v>129.30000000000001</v>
      </c>
      <c r="I11" s="1">
        <v>129.5</v>
      </c>
      <c r="J11" s="1">
        <v>129.80000000000001</v>
      </c>
      <c r="K11" s="1">
        <v>131.30000000000001</v>
      </c>
      <c r="L11" s="1">
        <v>132.19999999999999</v>
      </c>
      <c r="M11" s="1">
        <v>131.69999999999999</v>
      </c>
    </row>
    <row r="12" spans="1:13" x14ac:dyDescent="0.3">
      <c r="A12" s="4" t="s">
        <v>23</v>
      </c>
      <c r="B12" s="2">
        <v>116</v>
      </c>
      <c r="C12" s="2">
        <v>118</v>
      </c>
      <c r="D12" s="1">
        <v>117.6</v>
      </c>
      <c r="E12" s="2">
        <v>119</v>
      </c>
      <c r="F12" s="1">
        <v>119.1</v>
      </c>
      <c r="G12" s="1">
        <v>119.1</v>
      </c>
      <c r="H12" s="2">
        <v>119</v>
      </c>
      <c r="I12" s="1">
        <v>119.1</v>
      </c>
      <c r="J12" s="1">
        <v>119.1</v>
      </c>
      <c r="K12" s="1">
        <v>118.9</v>
      </c>
      <c r="L12" s="2">
        <v>119</v>
      </c>
      <c r="M12" s="1">
        <v>118.5</v>
      </c>
    </row>
    <row r="13" spans="1:13" x14ac:dyDescent="0.3">
      <c r="A13" s="4" t="s">
        <v>24</v>
      </c>
      <c r="B13" s="1">
        <v>108.3</v>
      </c>
      <c r="C13" s="1">
        <v>108.3</v>
      </c>
      <c r="D13" s="1">
        <v>108.5</v>
      </c>
      <c r="E13" s="1">
        <v>108.5</v>
      </c>
      <c r="F13" s="1">
        <v>108.5</v>
      </c>
      <c r="G13" s="1">
        <v>108.5</v>
      </c>
      <c r="H13" s="1">
        <v>108.4</v>
      </c>
      <c r="I13" s="1">
        <v>108.4</v>
      </c>
      <c r="J13" s="1">
        <v>108.9</v>
      </c>
      <c r="K13" s="1">
        <v>108.9</v>
      </c>
      <c r="L13" s="2">
        <v>109</v>
      </c>
      <c r="M13" s="1">
        <v>109.1</v>
      </c>
    </row>
    <row r="14" spans="1:13" x14ac:dyDescent="0.3">
      <c r="A14" s="4" t="s">
        <v>25</v>
      </c>
      <c r="B14" s="1">
        <v>143.80000000000001</v>
      </c>
      <c r="C14" s="1">
        <v>141.30000000000001</v>
      </c>
      <c r="D14" s="1">
        <v>139.4</v>
      </c>
      <c r="E14" s="1">
        <v>135.80000000000001</v>
      </c>
      <c r="F14" s="1">
        <v>135.80000000000001</v>
      </c>
      <c r="G14" s="1">
        <v>136.4</v>
      </c>
      <c r="H14" s="2">
        <v>140</v>
      </c>
      <c r="I14" s="1">
        <v>140.4</v>
      </c>
      <c r="J14" s="1">
        <v>140.9</v>
      </c>
      <c r="K14" s="1">
        <v>141.19999999999999</v>
      </c>
      <c r="L14" s="1">
        <v>141.69999999999999</v>
      </c>
      <c r="M14" s="1">
        <v>142.19999999999999</v>
      </c>
    </row>
    <row r="15" spans="1:13" ht="13.8" customHeight="1" x14ac:dyDescent="0.3">
      <c r="A15" s="4" t="s">
        <v>26</v>
      </c>
      <c r="B15" s="1">
        <v>114.9</v>
      </c>
      <c r="C15" s="1">
        <v>114.9</v>
      </c>
      <c r="D15" s="1">
        <v>115.1</v>
      </c>
      <c r="E15" s="2">
        <v>115</v>
      </c>
      <c r="F15" s="1">
        <v>114.9</v>
      </c>
      <c r="G15" s="1">
        <v>114.9</v>
      </c>
      <c r="H15" s="1">
        <v>114.8</v>
      </c>
      <c r="I15" s="1">
        <v>114.8</v>
      </c>
      <c r="J15" s="2">
        <v>115</v>
      </c>
      <c r="K15" s="1">
        <v>114.6</v>
      </c>
      <c r="L15" s="1">
        <v>114.8</v>
      </c>
      <c r="M15" s="1">
        <v>114.8</v>
      </c>
    </row>
    <row r="16" spans="1:13" x14ac:dyDescent="0.3">
      <c r="A16" s="4" t="s">
        <v>27</v>
      </c>
      <c r="B16" s="1">
        <v>106.5</v>
      </c>
      <c r="C16" s="1">
        <v>106.7</v>
      </c>
      <c r="D16" s="2">
        <v>107</v>
      </c>
      <c r="E16" s="1">
        <v>107.1</v>
      </c>
      <c r="F16" s="1">
        <v>107.2</v>
      </c>
      <c r="G16" s="1">
        <v>107.3</v>
      </c>
      <c r="H16" s="1">
        <v>107.4</v>
      </c>
      <c r="I16" s="1">
        <v>107.4</v>
      </c>
      <c r="J16" s="1">
        <v>107.5</v>
      </c>
      <c r="K16" s="1">
        <v>107.6</v>
      </c>
      <c r="L16" s="1">
        <v>107.6</v>
      </c>
      <c r="M16" s="1">
        <v>107.7</v>
      </c>
    </row>
    <row r="17" spans="1:13" x14ac:dyDescent="0.3">
      <c r="A17" s="4" t="s">
        <v>28</v>
      </c>
      <c r="B17" s="1">
        <v>121.6</v>
      </c>
      <c r="C17" s="1">
        <v>123.3</v>
      </c>
      <c r="D17" s="2">
        <v>124</v>
      </c>
      <c r="E17" s="1">
        <v>124.7</v>
      </c>
      <c r="F17" s="1">
        <v>124.2</v>
      </c>
      <c r="G17" s="1">
        <v>123.7</v>
      </c>
      <c r="H17" s="1">
        <v>124.3</v>
      </c>
      <c r="I17" s="1">
        <v>124.4</v>
      </c>
      <c r="J17" s="1">
        <v>122.3</v>
      </c>
      <c r="K17" s="1">
        <v>121.9</v>
      </c>
      <c r="L17" s="2">
        <v>122</v>
      </c>
      <c r="M17" s="1">
        <v>122.7</v>
      </c>
    </row>
    <row r="18" spans="1:13" x14ac:dyDescent="0.3">
      <c r="A18" s="4" t="s">
        <v>29</v>
      </c>
      <c r="B18" s="1">
        <v>72.7</v>
      </c>
      <c r="C18" s="1">
        <v>71.900000000000006</v>
      </c>
      <c r="D18" s="1">
        <v>71.5</v>
      </c>
      <c r="E18" s="2">
        <v>71</v>
      </c>
      <c r="F18" s="1">
        <v>70.099999999999994</v>
      </c>
      <c r="G18" s="1">
        <v>69.900000000000006</v>
      </c>
      <c r="H18" s="1">
        <v>69.5</v>
      </c>
      <c r="I18" s="1">
        <v>69.2</v>
      </c>
      <c r="J18" s="1">
        <v>69.2</v>
      </c>
      <c r="K18" s="2">
        <v>69</v>
      </c>
      <c r="L18" s="2">
        <v>68</v>
      </c>
      <c r="M18" s="1">
        <v>68.099999999999994</v>
      </c>
    </row>
    <row r="19" spans="1:13" x14ac:dyDescent="0.3">
      <c r="A19" s="4" t="s">
        <v>30</v>
      </c>
      <c r="B19" s="1">
        <v>106.4</v>
      </c>
      <c r="C19" s="1">
        <v>106.7</v>
      </c>
      <c r="D19" s="1">
        <v>106.4</v>
      </c>
      <c r="E19" s="1">
        <v>106.4</v>
      </c>
      <c r="F19" s="1">
        <v>106.7</v>
      </c>
      <c r="G19" s="1">
        <v>106.5</v>
      </c>
      <c r="H19" s="1">
        <v>107.1</v>
      </c>
      <c r="I19" s="1">
        <v>107.6</v>
      </c>
      <c r="J19" s="1">
        <v>106.9</v>
      </c>
      <c r="K19" s="1">
        <v>106.5</v>
      </c>
      <c r="L19" s="1">
        <v>105.8</v>
      </c>
      <c r="M19" s="1">
        <v>106.4</v>
      </c>
    </row>
    <row r="20" spans="1:13" x14ac:dyDescent="0.3">
      <c r="A20" s="4" t="s">
        <v>31</v>
      </c>
      <c r="B20" s="1">
        <v>88.3</v>
      </c>
      <c r="C20" s="1">
        <v>88.3</v>
      </c>
      <c r="D20" s="1">
        <v>88.3</v>
      </c>
      <c r="E20" s="1">
        <v>88.3</v>
      </c>
      <c r="F20" s="1">
        <v>88.3</v>
      </c>
      <c r="G20" s="1">
        <v>88.3</v>
      </c>
      <c r="H20" s="1">
        <v>88.3</v>
      </c>
      <c r="I20" s="1">
        <v>88.4</v>
      </c>
      <c r="J20" s="2">
        <v>89</v>
      </c>
      <c r="K20" s="1">
        <v>90.6</v>
      </c>
      <c r="L20" s="1">
        <v>90.7</v>
      </c>
      <c r="M20" s="1">
        <v>90.7</v>
      </c>
    </row>
    <row r="21" spans="1:13" x14ac:dyDescent="0.3">
      <c r="A21" s="4" t="s">
        <v>32</v>
      </c>
      <c r="B21" s="1">
        <v>122.3</v>
      </c>
      <c r="C21" s="1">
        <v>122.8</v>
      </c>
      <c r="D21" s="1">
        <v>123.3</v>
      </c>
      <c r="E21" s="2">
        <v>125</v>
      </c>
      <c r="F21" s="1">
        <v>126.3</v>
      </c>
      <c r="G21" s="1">
        <v>127.2</v>
      </c>
      <c r="H21" s="1">
        <v>127.8</v>
      </c>
      <c r="I21" s="1">
        <v>127.6</v>
      </c>
      <c r="J21" s="1">
        <v>128.30000000000001</v>
      </c>
      <c r="K21" s="1">
        <v>127.3</v>
      </c>
      <c r="L21" s="1">
        <v>125.9</v>
      </c>
      <c r="M21" s="1">
        <v>125.6</v>
      </c>
    </row>
    <row r="22" spans="1:13" x14ac:dyDescent="0.3">
      <c r="A22" s="4" t="s">
        <v>33</v>
      </c>
      <c r="B22" s="1">
        <v>116.3</v>
      </c>
      <c r="C22" s="1">
        <v>116.5</v>
      </c>
      <c r="D22" s="1">
        <v>116.9</v>
      </c>
      <c r="E22" s="1">
        <v>117.3</v>
      </c>
      <c r="F22" s="1">
        <v>117.5</v>
      </c>
      <c r="G22" s="1">
        <v>117.7</v>
      </c>
      <c r="H22" s="1">
        <v>117.9</v>
      </c>
      <c r="I22" s="1">
        <v>118.1</v>
      </c>
      <c r="J22" s="1">
        <v>118.4</v>
      </c>
      <c r="K22" s="1">
        <v>118.7</v>
      </c>
      <c r="L22" s="1">
        <v>119.1</v>
      </c>
      <c r="M22" s="1">
        <v>119.3</v>
      </c>
    </row>
    <row r="23" spans="1:13" x14ac:dyDescent="0.3">
      <c r="A23" s="4" t="s">
        <v>34</v>
      </c>
      <c r="B23" s="1">
        <v>119.3</v>
      </c>
      <c r="C23" s="1">
        <v>119.3</v>
      </c>
      <c r="D23" s="1">
        <v>119.4</v>
      </c>
      <c r="E23" s="1">
        <v>119.3</v>
      </c>
      <c r="F23" s="1">
        <v>119.5</v>
      </c>
      <c r="G23" s="1">
        <v>119.5</v>
      </c>
      <c r="H23" s="2">
        <v>120</v>
      </c>
      <c r="I23" s="1">
        <v>120.1</v>
      </c>
      <c r="J23" s="2">
        <v>120</v>
      </c>
      <c r="K23" s="1">
        <v>120.1</v>
      </c>
      <c r="L23" s="1">
        <v>120.1</v>
      </c>
      <c r="M23" s="1">
        <v>120.2</v>
      </c>
    </row>
  </sheetData>
  <conditionalFormatting sqref="B10:M1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M2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M11">
    <cfRule type="iconSet" priority="1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2:M12"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3:M13">
    <cfRule type="iconSet" priority="1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4:M14">
    <cfRule type="iconSet" priority="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5:M15"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6:M16">
    <cfRule type="iconSet" priority="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7:M17">
    <cfRule type="iconSet" priority="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8:M18"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9:M19">
    <cfRule type="iconSet" priority="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0:M20">
    <cfRule type="iconSet" priority="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1:M21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2:M22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860F-DC69-41ED-9BCF-4910E067EE2E}">
  <dimension ref="A1:K21"/>
  <sheetViews>
    <sheetView zoomScaleNormal="100" workbookViewId="0">
      <selection activeCell="I9" sqref="I9"/>
    </sheetView>
  </sheetViews>
  <sheetFormatPr defaultRowHeight="14.4" x14ac:dyDescent="0.3"/>
  <cols>
    <col min="1" max="1" width="29.21875" bestFit="1" customWidth="1"/>
    <col min="2" max="2" width="9.109375" bestFit="1" customWidth="1"/>
    <col min="3" max="3" width="7.88671875" customWidth="1"/>
    <col min="4" max="4" width="8.88671875" bestFit="1" customWidth="1"/>
    <col min="5" max="5" width="15.77734375" bestFit="1" customWidth="1"/>
    <col min="6" max="6" width="15.5546875" bestFit="1" customWidth="1"/>
    <col min="7" max="7" width="17.33203125" bestFit="1" customWidth="1"/>
    <col min="8" max="8" width="19.21875" bestFit="1" customWidth="1"/>
    <col min="9" max="9" width="18.21875" bestFit="1" customWidth="1"/>
    <col min="10" max="10" width="27.6640625" bestFit="1" customWidth="1"/>
    <col min="11" max="11" width="11.6640625" customWidth="1"/>
    <col min="12" max="12" width="13.77734375" customWidth="1"/>
    <col min="13" max="13" width="8.21875" customWidth="1"/>
  </cols>
  <sheetData>
    <row r="1" spans="1:11" x14ac:dyDescent="0.3">
      <c r="A1" s="33" t="s">
        <v>74</v>
      </c>
      <c r="B1" s="7"/>
    </row>
    <row r="2" spans="1:11" x14ac:dyDescent="0.3">
      <c r="A2" s="23">
        <f ca="1">NOW()</f>
        <v>46203.856273032405</v>
      </c>
      <c r="B2" s="23"/>
      <c r="C2" s="15"/>
      <c r="D2" s="15"/>
    </row>
    <row r="3" spans="1:11" x14ac:dyDescent="0.3">
      <c r="A3" s="6" t="s">
        <v>16</v>
      </c>
      <c r="B3" s="20"/>
    </row>
    <row r="5" spans="1:11" x14ac:dyDescent="0.3">
      <c r="A5" s="20"/>
      <c r="B5" s="20"/>
    </row>
    <row r="7" spans="1:11" ht="43.2" customHeight="1" x14ac:dyDescent="0.3">
      <c r="A7" s="10" t="s">
        <v>35</v>
      </c>
      <c r="B7" s="9" t="s">
        <v>36</v>
      </c>
      <c r="C7" s="18" t="s">
        <v>37</v>
      </c>
      <c r="D7" s="18" t="s">
        <v>38</v>
      </c>
      <c r="E7" s="18" t="s">
        <v>39</v>
      </c>
      <c r="F7" s="18" t="s">
        <v>40</v>
      </c>
      <c r="G7" s="18" t="s">
        <v>41</v>
      </c>
      <c r="H7" s="18" t="s">
        <v>42</v>
      </c>
      <c r="I7" s="18" t="s">
        <v>43</v>
      </c>
      <c r="J7" s="18" t="s">
        <v>44</v>
      </c>
      <c r="K7" s="18" t="s">
        <v>45</v>
      </c>
    </row>
    <row r="8" spans="1:11" ht="19.8" customHeight="1" x14ac:dyDescent="0.3">
      <c r="A8" s="8" t="s">
        <v>57</v>
      </c>
      <c r="B8" s="17" t="str">
        <f>MID('2024 Data'!A10, SEARCH("[", '2024 Data'!A10)+1, SEARCH("]", '2024 Data'!A10) - SEARCH("[", '2024 Data'!A10) - 1)</f>
        <v>00</v>
      </c>
      <c r="C8" s="21">
        <f>ROUND(AVERAGE('2024 Data'!B10:M10), 2)</f>
        <v>119.7</v>
      </c>
      <c r="D8" s="24">
        <f>_xlfn.RANK.EQ(ROUND(AVERAGE('2024 Data'!B10:M10), 2), $C$8:$C$21)</f>
        <v>6</v>
      </c>
      <c r="E8" s="1" t="str">
        <f>CONCATENATE(MAX('2024 Data'!B10:M10), " : ", PROPER(INDEX('2024 Data'!B$8:M$8, MATCH(MAX('2024 Data'!B10:M10), '2024 Data'!B10:M10, 0))))</f>
        <v>120,2 : December</v>
      </c>
      <c r="F8" s="1" t="str">
        <f>CONCATENATE(MIN('2024 Data'!B10:M10), " : ", PROPER(INDEX('2024 Data'!B$8:M$8, MATCH(MIN('2024 Data'!B10:M10), '2024 Data'!B10:M10, 0))))</f>
        <v>119,2 : January</v>
      </c>
      <c r="G8" s="1">
        <f>ABS('2024 Data'!M10 - '2024 Data'!B10)</f>
        <v>1</v>
      </c>
      <c r="H8" s="2" t="str">
        <f>IF(AND(AVERAGE('2024 Data'!B10:M10)&lt;120, (MAX('2024 Data'!B10:M10)-MIN('2024 Data'!B10:M10))/AVERAGE('2024 Data'!B10:M10)&lt;0.05),  "Stable and low", "Not stable or high")</f>
        <v>Stable and low</v>
      </c>
      <c r="I8" s="1" t="str">
        <f>IFERROR(IF(SUMPRODUCT(--('2024 Data'!B10:L10 &lt;= '2024 Data'!C10:M10)) = COLUMNS('2024 Data'!B10:M10) - 1, "Constant increase", "Not constant"), "Insufficient data")</f>
        <v>Not constant</v>
      </c>
      <c r="J8" s="34" t="str">
        <f>IF(COUNTA(B8:I21)=ROWS(B8:I21)*COLUMNS(B8:I21),
   "Complete, no empty values",
   "Incomplete– " &amp; COUNTBLANK(B8:I21) &amp; " empty values")</f>
        <v>Complete, no empty values</v>
      </c>
      <c r="K8" s="37">
        <f>CORREL('2024 Data'!B11:M11, '2024 Data'!B17:M17)</f>
        <v>-0.64851562760754267</v>
      </c>
    </row>
    <row r="9" spans="1:11" ht="36" customHeight="1" x14ac:dyDescent="0.3">
      <c r="A9" s="8" t="s">
        <v>58</v>
      </c>
      <c r="B9" s="17" t="str">
        <f>MID('2024 Data'!A11, SEARCH("[", '2024 Data'!A11)+1, SEARCH("]", '2024 Data'!A11) - SEARCH("[", '2024 Data'!A11) - 1)</f>
        <v>01</v>
      </c>
      <c r="C9" s="21">
        <f>ROUND(AVERAGE('2024 Data'!B11:M11), 2)</f>
        <v>130.21</v>
      </c>
      <c r="D9" s="24">
        <f>_xlfn.RANK.EQ(ROUND(AVERAGE('2024 Data'!B11:M11), 2), $C$8:$C$21)</f>
        <v>2</v>
      </c>
      <c r="E9" s="1" t="str">
        <f>CONCATENATE(MAX('2024 Data'!B11:M11), " : ", PROPER(INDEX('2024 Data'!B$8:M$8, MATCH(MAX('2024 Data'!B11:M11), '2024 Data'!B11:M11, 0))))</f>
        <v>132,2 : November</v>
      </c>
      <c r="F9" s="1" t="str">
        <f>CONCATENATE(MIN('2024 Data'!B11:M11), " : ", PROPER(INDEX('2024 Data'!B$8:M$8, MATCH(MIN('2024 Data'!B11:M11), '2024 Data'!B11:M11, 0))))</f>
        <v>129,3 : July</v>
      </c>
      <c r="G9" s="1">
        <f>ABS('2024 Data'!M11 - '2024 Data'!B11)</f>
        <v>1.6999999999999886</v>
      </c>
      <c r="H9" s="2" t="str">
        <f>IF(AND(AVERAGE('2024 Data'!B11:M11)&lt;120, (MAX('2024 Data'!B11:M11)-MIN('2024 Data'!B11:M11))/AVERAGE('2024 Data'!B11:M11)&lt;0.05),  "Stable and low", "Not stable or high")</f>
        <v>Not stable or high</v>
      </c>
      <c r="I9" s="1" t="str">
        <f>IFERROR(IF(SUMPRODUCT(--('2024 Data'!B11:L11 &lt;= '2024 Data'!C11:M11)) = COLUMNS('2024 Data'!B11:M11) - 1, "Constant increase", "Not constant"), "Insufficient data")</f>
        <v>Not constant</v>
      </c>
      <c r="J9" s="35"/>
      <c r="K9" s="38"/>
    </row>
    <row r="10" spans="1:11" ht="42" customHeight="1" x14ac:dyDescent="0.3">
      <c r="A10" s="8" t="s">
        <v>79</v>
      </c>
      <c r="B10" s="17" t="str">
        <f>MID('2024 Data'!A12, SEARCH("[", '2024 Data'!A12)+1, SEARCH("]", '2024 Data'!A12) - SEARCH("[", '2024 Data'!A12) - 1)</f>
        <v>02</v>
      </c>
      <c r="C10" s="21">
        <f>ROUND(AVERAGE('2024 Data'!B12:M12), 2)</f>
        <v>118.53</v>
      </c>
      <c r="D10" s="24">
        <f>_xlfn.RANK.EQ(ROUND(AVERAGE('2024 Data'!B12:M12), 2), $C$8:$C$21)</f>
        <v>7</v>
      </c>
      <c r="E10" s="1" t="str">
        <f>CONCATENATE(MAX('2024 Data'!B12:M12), " : ", PROPER(INDEX('2024 Data'!B$8:M$8, MATCH(MAX('2024 Data'!B12:M12), '2024 Data'!B12:M12, 0))))</f>
        <v>119,1 : May</v>
      </c>
      <c r="F10" s="1" t="str">
        <f>CONCATENATE(MIN('2024 Data'!B12:M12), " : ", PROPER(INDEX('2024 Data'!B$8:M$8, MATCH(MIN('2024 Data'!B12:M12), '2024 Data'!B12:M12, 0))))</f>
        <v>116 : January</v>
      </c>
      <c r="G10" s="1">
        <f>ABS('2024 Data'!M12 - '2024 Data'!B12)</f>
        <v>2.5</v>
      </c>
      <c r="H10" s="2" t="str">
        <f>IF(AND(AVERAGE('2024 Data'!B12:M12)&lt;120, (MAX('2024 Data'!B12:M12)-MIN('2024 Data'!B12:M12))/AVERAGE('2024 Data'!B12:M12)&lt;0.05),  "Stable and low", "Not stable or high")</f>
        <v>Stable and low</v>
      </c>
      <c r="I10" s="1" t="str">
        <f>IFERROR(IF(SUMPRODUCT(--('2024 Data'!B12:L12 &lt;= '2024 Data'!C12:M12)) = COLUMNS('2024 Data'!B12:M12) - 1, "Constant increase", "Not constant"), "Insufficient data")</f>
        <v>Not constant</v>
      </c>
      <c r="J10" s="35"/>
      <c r="K10" s="38"/>
    </row>
    <row r="11" spans="1:11" ht="27" customHeight="1" x14ac:dyDescent="0.3">
      <c r="A11" s="8" t="s">
        <v>78</v>
      </c>
      <c r="B11" s="17" t="str">
        <f>MID('2024 Data'!A13, SEARCH("[", '2024 Data'!A13)+1, SEARCH("]", '2024 Data'!A13) - SEARCH("[", '2024 Data'!A13) - 1)</f>
        <v>03</v>
      </c>
      <c r="C11" s="21">
        <f>ROUND(AVERAGE('2024 Data'!B13:M13), 2)</f>
        <v>108.61</v>
      </c>
      <c r="D11" s="24">
        <f>_xlfn.RANK.EQ(ROUND(AVERAGE('2024 Data'!B13:M13), 2), $C$8:$C$21)</f>
        <v>10</v>
      </c>
      <c r="E11" s="1" t="str">
        <f>CONCATENATE(MAX('2024 Data'!B13:M13), " : ", PROPER(INDEX('2024 Data'!B$8:M$8, MATCH(MAX('2024 Data'!B13:M13), '2024 Data'!B13:M13, 0))))</f>
        <v>109,1 : December</v>
      </c>
      <c r="F11" s="1" t="str">
        <f>CONCATENATE(MIN('2024 Data'!B13:M13), " : ", PROPER(INDEX('2024 Data'!B$8:M$8, MATCH(MIN('2024 Data'!B13:M13), '2024 Data'!B13:M13, 0))))</f>
        <v>108,3 : January</v>
      </c>
      <c r="G11" s="1">
        <f>ABS('2024 Data'!M13 - '2024 Data'!B13)</f>
        <v>0.79999999999999716</v>
      </c>
      <c r="H11" s="2" t="str">
        <f>IF(AND(AVERAGE('2024 Data'!B13:M13)&lt;120, (MAX('2024 Data'!B13:M13)-MIN('2024 Data'!B13:M13))/AVERAGE('2024 Data'!B13:M13)&lt;0.05),  "Stable and low", "Not stable or high")</f>
        <v>Stable and low</v>
      </c>
      <c r="I11" s="1" t="str">
        <f>IFERROR(IF(SUMPRODUCT(--('2024 Data'!B13:L13 &lt;= '2024 Data'!C13:M13)) = COLUMNS('2024 Data'!B13:M13) - 1, "Constant increase", "Not constant"), "Insufficient data")</f>
        <v>Not constant</v>
      </c>
      <c r="J11" s="35"/>
      <c r="K11" s="38"/>
    </row>
    <row r="12" spans="1:11" ht="31.8" customHeight="1" x14ac:dyDescent="0.3">
      <c r="A12" s="8" t="s">
        <v>77</v>
      </c>
      <c r="B12" s="17" t="str">
        <f>MID('2024 Data'!A14, SEARCH("[", '2024 Data'!A14)+1, SEARCH("]", '2024 Data'!A14) - SEARCH("[", '2024 Data'!A14) - 1)</f>
        <v>04</v>
      </c>
      <c r="C12" s="21">
        <f>ROUND(AVERAGE('2024 Data'!B14:M14), 2)</f>
        <v>139.91</v>
      </c>
      <c r="D12" s="24">
        <f>_xlfn.RANK.EQ(ROUND(AVERAGE('2024 Data'!B14:M14), 2), $C$8:$C$21)</f>
        <v>1</v>
      </c>
      <c r="E12" s="1" t="str">
        <f>CONCATENATE(MAX('2024 Data'!B14:M14), " : ", PROPER(INDEX('2024 Data'!B$8:M$8, MATCH(MAX('2024 Data'!B14:M14), '2024 Data'!B14:M14, 0))))</f>
        <v>143,8 : January</v>
      </c>
      <c r="F12" s="1" t="str">
        <f>CONCATENATE(MIN('2024 Data'!B14:M14), " : ", PROPER(INDEX('2024 Data'!B$8:M$8, MATCH(MIN('2024 Data'!B14:M14), '2024 Data'!B14:M14, 0))))</f>
        <v>135,8 : April</v>
      </c>
      <c r="G12" s="1">
        <f>ABS('2024 Data'!M14 - '2024 Data'!B14)</f>
        <v>1.6000000000000227</v>
      </c>
      <c r="H12" s="2" t="str">
        <f>IF(AND(AVERAGE('2024 Data'!B14:M14)&lt;120, (MAX('2024 Data'!B14:M14)-MIN('2024 Data'!B14:M14))/AVERAGE('2024 Data'!B14:M14)&lt;0.05),  "Stable and low", "Not stable or high")</f>
        <v>Not stable or high</v>
      </c>
      <c r="I12" s="1" t="str">
        <f>IFERROR(IF(SUMPRODUCT(--('2024 Data'!B14:L14 &lt;= '2024 Data'!C14:M14)) = COLUMNS('2024 Data'!B14:M14) - 1, "Constant increase", "Not constant"), "Insufficient data")</f>
        <v>Not constant</v>
      </c>
      <c r="J12" s="35"/>
      <c r="K12" s="38"/>
    </row>
    <row r="13" spans="1:11" ht="43.2" x14ac:dyDescent="0.3">
      <c r="A13" s="8" t="s">
        <v>76</v>
      </c>
      <c r="B13" s="17" t="str">
        <f>MID('2024 Data'!A15, SEARCH("[", '2024 Data'!A15)+1, SEARCH("]", '2024 Data'!A15) - SEARCH("[", '2024 Data'!A15) - 1)</f>
        <v>05</v>
      </c>
      <c r="C13" s="21">
        <f>ROUND(AVERAGE('2024 Data'!B15:M15), 2)</f>
        <v>114.88</v>
      </c>
      <c r="D13" s="24">
        <f>_xlfn.RANK.EQ(ROUND(AVERAGE('2024 Data'!B15:M15), 2), $C$8:$C$21)</f>
        <v>9</v>
      </c>
      <c r="E13" s="1" t="str">
        <f>CONCATENATE(MAX('2024 Data'!B15:M15), " : ", PROPER(INDEX('2024 Data'!B$8:M$8, MATCH(MAX('2024 Data'!B15:M15), '2024 Data'!B15:M15, 0))))</f>
        <v>115,1 : March</v>
      </c>
      <c r="F13" s="1" t="str">
        <f>CONCATENATE(MIN('2024 Data'!B15:M15), " : ", PROPER(INDEX('2024 Data'!B$8:M$8, MATCH(MIN('2024 Data'!B15:M15), '2024 Data'!B15:M15, 0))))</f>
        <v>114,6 : October</v>
      </c>
      <c r="G13" s="1">
        <f>ABS('2024 Data'!M15 - '2024 Data'!B15)</f>
        <v>0.10000000000000853</v>
      </c>
      <c r="H13" s="2" t="str">
        <f>IF(AND(AVERAGE('2024 Data'!B15:M15)&lt;120, (MAX('2024 Data'!B15:M15)-MIN('2024 Data'!B15:M15))/AVERAGE('2024 Data'!B15:M15)&lt;0.05),  "Stable and low", "Not stable or high")</f>
        <v>Stable and low</v>
      </c>
      <c r="I13" s="1" t="str">
        <f>IFERROR(IF(SUMPRODUCT(--('2024 Data'!B15:L15 &lt;= '2024 Data'!C15:M15)) = COLUMNS('2024 Data'!B15:M15) - 1, "Constant increase", "Not constant"), "Insufficient data")</f>
        <v>Not constant</v>
      </c>
      <c r="J13" s="35"/>
      <c r="K13" s="38"/>
    </row>
    <row r="14" spans="1:11" ht="36" customHeight="1" x14ac:dyDescent="0.3">
      <c r="A14" s="8" t="s">
        <v>71</v>
      </c>
      <c r="B14" s="17" t="str">
        <f>MID('2024 Data'!A16, SEARCH("[", '2024 Data'!A16)+1, SEARCH("]", '2024 Data'!A16) - SEARCH("[", '2024 Data'!A16) - 1)</f>
        <v>06</v>
      </c>
      <c r="C14" s="21">
        <f>ROUND(AVERAGE('2024 Data'!B16:M16), 2)</f>
        <v>107.25</v>
      </c>
      <c r="D14" s="24">
        <f>_xlfn.RANK.EQ(ROUND(AVERAGE('2024 Data'!B16:M16), 2), $C$8:$C$21)</f>
        <v>11</v>
      </c>
      <c r="E14" s="1" t="str">
        <f>CONCATENATE(MAX('2024 Data'!B16:M16), " : ", PROPER(INDEX('2024 Data'!B$8:M$8, MATCH(MAX('2024 Data'!B16:M16), '2024 Data'!B16:M16, 0))))</f>
        <v>107,7 : December</v>
      </c>
      <c r="F14" s="1" t="str">
        <f>CONCATENATE(MIN('2024 Data'!B16:M16), " : ", PROPER(INDEX('2024 Data'!B$8:M$8, MATCH(MIN('2024 Data'!B16:M16), '2024 Data'!B16:M16, 0))))</f>
        <v>106,5 : January</v>
      </c>
      <c r="G14" s="1">
        <f>ABS('2024 Data'!M16 - '2024 Data'!B16)</f>
        <v>1.2000000000000028</v>
      </c>
      <c r="H14" s="2" t="str">
        <f>IF(AND(AVERAGE('2024 Data'!B16:M16)&lt;120, (MAX('2024 Data'!B16:M16)-MIN('2024 Data'!B16:M16))/AVERAGE('2024 Data'!B16:M16)&lt;0.05),  "Stable and low", "Not stable or high")</f>
        <v>Stable and low</v>
      </c>
      <c r="I14" s="1" t="str">
        <f>IFERROR(IF(SUMPRODUCT(--('2024 Data'!B16:L16 &lt;= '2024 Data'!C16:M16)) = COLUMNS('2024 Data'!B16:M16) - 1, "Constant increase", "Not constant"), "Insufficient data")</f>
        <v>Constant increase</v>
      </c>
      <c r="J14" s="35"/>
      <c r="K14" s="38"/>
    </row>
    <row r="15" spans="1:11" ht="28.8" customHeight="1" x14ac:dyDescent="0.3">
      <c r="A15" s="8" t="s">
        <v>70</v>
      </c>
      <c r="B15" s="17" t="str">
        <f>MID('2024 Data'!A17, SEARCH("[", '2024 Data'!A17)+1, SEARCH("]", '2024 Data'!A17) - SEARCH("[", '2024 Data'!A17) - 1)</f>
        <v>07</v>
      </c>
      <c r="C15" s="21">
        <f>ROUND(AVERAGE('2024 Data'!B17:M17), 2)</f>
        <v>123.26</v>
      </c>
      <c r="D15" s="24">
        <f>_xlfn.RANK.EQ(ROUND(AVERAGE('2024 Data'!B17:M17), 2), $C$8:$C$21)</f>
        <v>4</v>
      </c>
      <c r="E15" s="1" t="str">
        <f>CONCATENATE(MAX('2024 Data'!B17:M17), " : ", PROPER(INDEX('2024 Data'!B$8:M$8, MATCH(MAX('2024 Data'!B17:M17), '2024 Data'!B17:M17, 0))))</f>
        <v>124,7 : April</v>
      </c>
      <c r="F15" s="1" t="str">
        <f>CONCATENATE(MIN('2024 Data'!B17:M17), " : ", PROPER(INDEX('2024 Data'!B$8:M$8, MATCH(MIN('2024 Data'!B17:M17), '2024 Data'!B17:M17, 0))))</f>
        <v>121,6 : January</v>
      </c>
      <c r="G15" s="1">
        <f>ABS('2024 Data'!M17 - '2024 Data'!B17)</f>
        <v>1.1000000000000085</v>
      </c>
      <c r="H15" s="2" t="str">
        <f>IF(AND(AVERAGE('2024 Data'!B17:M17)&lt;120, (MAX('2024 Data'!B17:M17)-MIN('2024 Data'!B17:M17))/AVERAGE('2024 Data'!B17:M17)&lt;0.05),  "Stable and low", "Not stable or high")</f>
        <v>Not stable or high</v>
      </c>
      <c r="I15" s="1" t="str">
        <f>IFERROR(IF(SUMPRODUCT(--('2024 Data'!B17:L17 &lt;= '2024 Data'!C17:M17)) = COLUMNS('2024 Data'!B17:M17) - 1, "Constant increase", "Not constant"), "Insufficient data")</f>
        <v>Not constant</v>
      </c>
      <c r="J15" s="35"/>
      <c r="K15" s="38"/>
    </row>
    <row r="16" spans="1:11" ht="22.8" customHeight="1" x14ac:dyDescent="0.3">
      <c r="A16" s="8" t="s">
        <v>80</v>
      </c>
      <c r="B16" s="17" t="str">
        <f>MID('2024 Data'!A18, SEARCH("[", '2024 Data'!A18)+1, SEARCH("]", '2024 Data'!A18) - SEARCH("[", '2024 Data'!A18) - 1)</f>
        <v>08</v>
      </c>
      <c r="C16" s="21">
        <f>ROUND(AVERAGE('2024 Data'!B18:M18), 2)</f>
        <v>70.010000000000005</v>
      </c>
      <c r="D16" s="24">
        <f>_xlfn.RANK.EQ(ROUND(AVERAGE('2024 Data'!B18:M18), 2), $C$8:$C$21)</f>
        <v>14</v>
      </c>
      <c r="E16" s="1" t="str">
        <f>CONCATENATE(MAX('2024 Data'!B18:M18), " : ", PROPER(INDEX('2024 Data'!B$8:M$8, MATCH(MAX('2024 Data'!B18:M18), '2024 Data'!B18:M18, 0))))</f>
        <v>72,7 : January</v>
      </c>
      <c r="F16" s="1" t="str">
        <f>CONCATENATE(MIN('2024 Data'!B18:M18), " : ", PROPER(INDEX('2024 Data'!B$8:M$8, MATCH(MIN('2024 Data'!B18:M18), '2024 Data'!B18:M18, 0))))</f>
        <v>68 : November</v>
      </c>
      <c r="G16" s="1">
        <f>ABS('2024 Data'!M18 - '2024 Data'!B18)</f>
        <v>4.6000000000000085</v>
      </c>
      <c r="H16" s="2" t="str">
        <f>IF(AND(AVERAGE('2024 Data'!B18:M18)&lt;120, (MAX('2024 Data'!B18:M18)-MIN('2024 Data'!B18:M18))/AVERAGE('2024 Data'!B18:M18)&lt;0.05),  "Stable and low", "Not stable or high")</f>
        <v>Not stable or high</v>
      </c>
      <c r="I16" s="1" t="str">
        <f>IFERROR(IF(SUMPRODUCT(--('2024 Data'!B18:L18 &lt;= '2024 Data'!C18:M18)) = COLUMNS('2024 Data'!B18:M18) - 1, "Constant increase", "Not constant"), "Insufficient data")</f>
        <v>Not constant</v>
      </c>
      <c r="J16" s="35"/>
      <c r="K16" s="38"/>
    </row>
    <row r="17" spans="1:11" ht="34.799999999999997" customHeight="1" x14ac:dyDescent="0.3">
      <c r="A17" s="8" t="s">
        <v>81</v>
      </c>
      <c r="B17" s="17" t="str">
        <f>MID('2024 Data'!A19, SEARCH("[", '2024 Data'!A19)+1, SEARCH("]", '2024 Data'!A19) - SEARCH("[", '2024 Data'!A19) - 1)</f>
        <v>09</v>
      </c>
      <c r="C17" s="21">
        <f>ROUND(AVERAGE('2024 Data'!B19:M19), 2)</f>
        <v>106.62</v>
      </c>
      <c r="D17" s="24">
        <f>_xlfn.RANK.EQ(ROUND(AVERAGE('2024 Data'!B19:M19), 2), $C$8:$C$21)</f>
        <v>12</v>
      </c>
      <c r="E17" s="1" t="str">
        <f>CONCATENATE(MAX('2024 Data'!B19:M19), " : ", PROPER(INDEX('2024 Data'!B$8:M$8, MATCH(MAX('2024 Data'!B19:M19), '2024 Data'!B19:M19, 0))))</f>
        <v>107,6 : August</v>
      </c>
      <c r="F17" s="1" t="str">
        <f>CONCATENATE(MIN('2024 Data'!B19:M19), " : ", PROPER(INDEX('2024 Data'!B$8:M$8, MATCH(MIN('2024 Data'!B19:M19), '2024 Data'!B19:M19, 0))))</f>
        <v>105,8 : November</v>
      </c>
      <c r="G17" s="1">
        <f>ABS('2024 Data'!M19 - '2024 Data'!B19)</f>
        <v>0</v>
      </c>
      <c r="H17" s="2" t="str">
        <f>IF(AND(AVERAGE('2024 Data'!B19:M19)&lt;120, (MAX('2024 Data'!B19:M19)-MIN('2024 Data'!B19:M19))/AVERAGE('2024 Data'!B19:M19)&lt;0.05),  "Stable and low", "Not stable or high")</f>
        <v>Stable and low</v>
      </c>
      <c r="I17" s="1" t="str">
        <f>IFERROR(IF(SUMPRODUCT(--('2024 Data'!B19:L19 &lt;= '2024 Data'!C19:M19)) = COLUMNS('2024 Data'!B19:M19) - 1, "Constant increase", "Not constant"), "Insufficient data")</f>
        <v>Not constant</v>
      </c>
      <c r="J17" s="35"/>
      <c r="K17" s="38"/>
    </row>
    <row r="18" spans="1:11" ht="18" customHeight="1" x14ac:dyDescent="0.3">
      <c r="A18" s="8" t="s">
        <v>82</v>
      </c>
      <c r="B18" s="17" t="str">
        <f>MID('2024 Data'!A20, SEARCH("[", '2024 Data'!A20)+1, SEARCH("]", '2024 Data'!A20) - SEARCH("[", '2024 Data'!A20) - 1)</f>
        <v>10</v>
      </c>
      <c r="C18" s="21">
        <f>ROUND(AVERAGE('2024 Data'!B20:M20), 2)</f>
        <v>88.96</v>
      </c>
      <c r="D18" s="24">
        <f>_xlfn.RANK.EQ(ROUND(AVERAGE('2024 Data'!B20:M20), 2), $C$8:$C$21)</f>
        <v>13</v>
      </c>
      <c r="E18" s="1" t="str">
        <f>CONCATENATE(MAX('2024 Data'!B20:M20), " : ", PROPER(INDEX('2024 Data'!B$8:M$8, MATCH(MAX('2024 Data'!B20:M20), '2024 Data'!B20:M20, 0))))</f>
        <v>90,7 : November</v>
      </c>
      <c r="F18" s="1" t="str">
        <f>CONCATENATE(MIN('2024 Data'!B20:M20), " : ", PROPER(INDEX('2024 Data'!B$8:M$8, MATCH(MIN('2024 Data'!B20:M20), '2024 Data'!B20:M20, 0))))</f>
        <v>88,3 : January</v>
      </c>
      <c r="G18" s="1">
        <f>ABS('2024 Data'!M20 - '2024 Data'!B20)</f>
        <v>2.4000000000000057</v>
      </c>
      <c r="H18" s="2" t="str">
        <f>IF(AND(AVERAGE('2024 Data'!B20:M20)&lt;120, (MAX('2024 Data'!B20:M20)-MIN('2024 Data'!B20:M20))/AVERAGE('2024 Data'!B20:M20)&lt;0.05),  "Stable and low", "Not stable or high")</f>
        <v>Stable and low</v>
      </c>
      <c r="I18" s="1" t="str">
        <f>IFERROR(IF(SUMPRODUCT(--('2024 Data'!B20:L20 &lt;= '2024 Data'!C20:M20)) = COLUMNS('2024 Data'!B20:M20) - 1, "Constant increase", "Not constant"), "Insufficient data")</f>
        <v>Constant increase</v>
      </c>
      <c r="J18" s="35"/>
      <c r="K18" s="38"/>
    </row>
    <row r="19" spans="1:11" ht="33.6" customHeight="1" x14ac:dyDescent="0.3">
      <c r="A19" s="8" t="s">
        <v>83</v>
      </c>
      <c r="B19" s="17" t="str">
        <f>MID('2024 Data'!A21, SEARCH("[", '2024 Data'!A21)+1, SEARCH("]", '2024 Data'!A21) - SEARCH("[", '2024 Data'!A21) - 1)</f>
        <v>11</v>
      </c>
      <c r="C19" s="21">
        <f>ROUND(AVERAGE('2024 Data'!B21:M21), 2)</f>
        <v>125.78</v>
      </c>
      <c r="D19" s="24">
        <f>_xlfn.RANK.EQ(ROUND(AVERAGE('2024 Data'!B21:M21), 2), $C$8:$C$21)</f>
        <v>3</v>
      </c>
      <c r="E19" s="1" t="str">
        <f>CONCATENATE(MAX('2024 Data'!B21:M21), " : ", PROPER(INDEX('2024 Data'!B$8:M$8, MATCH(MAX('2024 Data'!B21:M21), '2024 Data'!B21:M21, 0))))</f>
        <v>128,3 : September</v>
      </c>
      <c r="F19" s="1" t="str">
        <f>CONCATENATE(MIN('2024 Data'!B21:M21), " : ", PROPER(INDEX('2024 Data'!B$8:M$8, MATCH(MIN('2024 Data'!B21:M21), '2024 Data'!B21:M21, 0))))</f>
        <v>122,3 : January</v>
      </c>
      <c r="G19" s="1">
        <f>ABS('2024 Data'!M21 - '2024 Data'!B21)</f>
        <v>3.2999999999999972</v>
      </c>
      <c r="H19" s="2" t="str">
        <f>IF(AND(AVERAGE('2024 Data'!B21:M21)&lt;120, (MAX('2024 Data'!B21:M21)-MIN('2024 Data'!B21:M21))/AVERAGE('2024 Data'!B21:M21)&lt;0.05),  "Stable and low", "Not stable or high")</f>
        <v>Not stable or high</v>
      </c>
      <c r="I19" s="1" t="str">
        <f>IFERROR(IF(SUMPRODUCT(--('2024 Data'!B21:L21 &lt;= '2024 Data'!C21:M21)) = COLUMNS('2024 Data'!B21:M21) - 1, "Constant increase", "Not constant"), "Insufficient data")</f>
        <v>Not constant</v>
      </c>
      <c r="J19" s="35"/>
      <c r="K19" s="38"/>
    </row>
    <row r="20" spans="1:11" ht="21.6" customHeight="1" x14ac:dyDescent="0.3">
      <c r="A20" s="8" t="s">
        <v>84</v>
      </c>
      <c r="B20" s="17" t="str">
        <f>MID('2024 Data'!A22, SEARCH("[", '2024 Data'!A22)+1, SEARCH("]", '2024 Data'!A22) - SEARCH("[", '2024 Data'!A22) - 1)</f>
        <v>12</v>
      </c>
      <c r="C20" s="21">
        <f>ROUND(AVERAGE('2024 Data'!B22:M22), 2)</f>
        <v>117.81</v>
      </c>
      <c r="D20" s="24">
        <f>_xlfn.RANK.EQ(ROUND(AVERAGE('2024 Data'!B22:M22), 2), $C$8:$C$21)</f>
        <v>8</v>
      </c>
      <c r="E20" s="1" t="str">
        <f>CONCATENATE(MAX('2024 Data'!B22:M22), " : ", PROPER(INDEX('2024 Data'!B$8:M$8, MATCH(MAX('2024 Data'!B22:M22), '2024 Data'!B22:M22, 0))))</f>
        <v>119,3 : December</v>
      </c>
      <c r="F20" s="1" t="str">
        <f>CONCATENATE(MIN('2024 Data'!B22:M22), " : ", PROPER(INDEX('2024 Data'!B$8:M$8, MATCH(MIN('2024 Data'!B22:M22), '2024 Data'!B22:M22, 0))))</f>
        <v>116,3 : January</v>
      </c>
      <c r="G20" s="1">
        <f>ABS('2024 Data'!M22 - '2024 Data'!B22)</f>
        <v>3</v>
      </c>
      <c r="H20" s="2" t="str">
        <f>IF(AND(AVERAGE('2024 Data'!B22:M22)&lt;120, (MAX('2024 Data'!B22:M22)-MIN('2024 Data'!B22:M22))/AVERAGE('2024 Data'!B22:M22)&lt;0.05),  "Stable and low", "Not stable or high")</f>
        <v>Stable and low</v>
      </c>
      <c r="I20" s="1" t="str">
        <f>IFERROR(IF(SUMPRODUCT(--('2024 Data'!B22:L22 &lt;= '2024 Data'!C22:M22)) = COLUMNS('2024 Data'!B22:M22) - 1, "Constant increase", "Not constant"), "Insufficient data")</f>
        <v>Constant increase</v>
      </c>
      <c r="J20" s="35"/>
      <c r="K20" s="38"/>
    </row>
    <row r="21" spans="1:11" ht="33.6" customHeight="1" x14ac:dyDescent="0.3">
      <c r="A21" s="8" t="s">
        <v>85</v>
      </c>
      <c r="B21" s="17" t="str">
        <f>MID('2024 Data'!A23, SEARCH("[", '2024 Data'!A23)+1, SEARCH("]", '2024 Data'!A23) - SEARCH("[", '2024 Data'!A23) - 1)</f>
        <v>00ST</v>
      </c>
      <c r="C21" s="21">
        <f>ROUND(AVERAGE('2024 Data'!B23:M23), 2)</f>
        <v>119.73</v>
      </c>
      <c r="D21" s="24">
        <f>_xlfn.RANK.EQ(ROUND(AVERAGE('2024 Data'!B23:M23), 2), $C$8:$C$21)</f>
        <v>5</v>
      </c>
      <c r="E21" s="1" t="str">
        <f>CONCATENATE(MAX('2024 Data'!B23:M23), " : ", PROPER(INDEX('2024 Data'!B$8:M$8, MATCH(MAX('2024 Data'!B23:M23), '2024 Data'!B23:M23, 0))))</f>
        <v>120,2 : December</v>
      </c>
      <c r="F21" s="1" t="str">
        <f>CONCATENATE(MIN('2024 Data'!B23:M23), " : ", PROPER(INDEX('2024 Data'!B$8:M$8, MATCH(MIN('2024 Data'!B23:M23), '2024 Data'!B23:M23, 0))))</f>
        <v>119,3 : January</v>
      </c>
      <c r="G21" s="1">
        <f>ABS('2024 Data'!M23 - '2024 Data'!B23)</f>
        <v>0.90000000000000568</v>
      </c>
      <c r="H21" s="2" t="str">
        <f>IF(AND(AVERAGE('2024 Data'!B23:M23)&lt;120, (MAX('2024 Data'!B23:M23)-MIN('2024 Data'!B23:M23))/AVERAGE('2024 Data'!B23:M23)&lt;0.05),  "Stable and low", "Not stable or high")</f>
        <v>Stable and low</v>
      </c>
      <c r="I21" s="1" t="str">
        <f>IFERROR(IF(SUMPRODUCT(--('2024 Data'!B23:L23 &lt;= '2024 Data'!C23:M23)) = COLUMNS('2024 Data'!B23:M23) - 1, "Constant increase", "Not constant"), "Insufficient data")</f>
        <v>Not constant</v>
      </c>
      <c r="J21" s="36"/>
      <c r="K21" s="39"/>
    </row>
  </sheetData>
  <mergeCells count="2">
    <mergeCell ref="J8:J21"/>
    <mergeCell ref="K8:K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20EA-28CC-4A85-87C2-A8CB53D027A3}">
  <dimension ref="A1:K12"/>
  <sheetViews>
    <sheetView workbookViewId="0">
      <selection activeCell="A12" sqref="A12"/>
    </sheetView>
  </sheetViews>
  <sheetFormatPr defaultRowHeight="14.4" x14ac:dyDescent="0.3"/>
  <cols>
    <col min="1" max="1" width="32.21875" bestFit="1" customWidth="1"/>
    <col min="2" max="2" width="12.44140625" customWidth="1"/>
    <col min="3" max="3" width="12.33203125" bestFit="1" customWidth="1"/>
    <col min="4" max="4" width="13.5546875" bestFit="1" customWidth="1"/>
    <col min="5" max="6" width="12.44140625" bestFit="1" customWidth="1"/>
    <col min="7" max="7" width="12.109375" bestFit="1" customWidth="1"/>
    <col min="8" max="9" width="11.88671875" bestFit="1" customWidth="1"/>
    <col min="10" max="10" width="13.21875" bestFit="1" customWidth="1"/>
    <col min="11" max="11" width="12.109375" bestFit="1" customWidth="1"/>
    <col min="12" max="12" width="11.44140625" customWidth="1"/>
    <col min="13" max="13" width="13.21875" customWidth="1"/>
  </cols>
  <sheetData>
    <row r="1" spans="1:11" ht="14.4" customHeight="1" x14ac:dyDescent="0.3">
      <c r="A1" s="19" t="s">
        <v>73</v>
      </c>
    </row>
    <row r="2" spans="1:11" x14ac:dyDescent="0.3">
      <c r="A2" s="23">
        <f ca="1">NOW()</f>
        <v>46203.856273032405</v>
      </c>
    </row>
    <row r="7" spans="1:11" ht="28.8" customHeight="1" x14ac:dyDescent="0.3">
      <c r="A7" s="16" t="s">
        <v>47</v>
      </c>
      <c r="B7" s="13" t="s">
        <v>48</v>
      </c>
      <c r="C7" s="13" t="s">
        <v>14</v>
      </c>
      <c r="D7" s="13" t="s">
        <v>49</v>
      </c>
      <c r="E7" s="13" t="s">
        <v>50</v>
      </c>
      <c r="F7" s="13" t="s">
        <v>51</v>
      </c>
      <c r="G7" s="13" t="s">
        <v>52</v>
      </c>
      <c r="H7" s="13" t="s">
        <v>53</v>
      </c>
      <c r="I7" s="13" t="s">
        <v>54</v>
      </c>
      <c r="J7" s="13" t="s">
        <v>55</v>
      </c>
      <c r="K7" s="13" t="s">
        <v>56</v>
      </c>
    </row>
    <row r="8" spans="1:11" x14ac:dyDescent="0.3">
      <c r="A8" s="14" t="s">
        <v>46</v>
      </c>
      <c r="B8" s="12" t="s">
        <v>60</v>
      </c>
      <c r="C8" s="12" t="s">
        <v>61</v>
      </c>
      <c r="D8" s="12" t="s">
        <v>62</v>
      </c>
      <c r="E8" s="12" t="s">
        <v>63</v>
      </c>
      <c r="F8" s="12" t="s">
        <v>64</v>
      </c>
      <c r="G8" s="12" t="s">
        <v>65</v>
      </c>
      <c r="H8" s="12" t="s">
        <v>66</v>
      </c>
      <c r="I8" s="12" t="s">
        <v>67</v>
      </c>
      <c r="J8" s="12" t="s">
        <v>68</v>
      </c>
      <c r="K8" s="12" t="s">
        <v>69</v>
      </c>
    </row>
    <row r="9" spans="1:11" x14ac:dyDescent="0.3">
      <c r="A9" s="11" t="s">
        <v>57</v>
      </c>
      <c r="B9" s="1">
        <f>AVERAGE('2024 Data'!B10:D10)</f>
        <v>119.26666666666667</v>
      </c>
      <c r="C9" s="1">
        <f>AVERAGE('2024 Data'!C10:E10)</f>
        <v>119.3</v>
      </c>
      <c r="D9" s="1">
        <f>AVERAGE('2024 Data'!D10:F10)</f>
        <v>119.36666666666667</v>
      </c>
      <c r="E9" s="1">
        <f>AVERAGE('2024 Data'!E10:G10)</f>
        <v>119.43333333333334</v>
      </c>
      <c r="F9" s="1">
        <f>AVERAGE('2024 Data'!F10:H10)</f>
        <v>119.66666666666667</v>
      </c>
      <c r="G9" s="1">
        <f>AVERAGE('2024 Data'!G10:I10)</f>
        <v>119.86666666666667</v>
      </c>
      <c r="H9" s="1">
        <f>AVERAGE('2024 Data'!H10:J10)</f>
        <v>120.03333333333335</v>
      </c>
      <c r="I9" s="1">
        <f>AVERAGE('2024 Data'!I10:K10)</f>
        <v>120.03333333333335</v>
      </c>
      <c r="J9" s="1">
        <f>AVERAGE('2024 Data'!J10:L10)</f>
        <v>120</v>
      </c>
      <c r="K9" s="1">
        <f>AVERAGE('2024 Data'!K10:M10)</f>
        <v>120.06666666666666</v>
      </c>
    </row>
    <row r="10" spans="1:11" x14ac:dyDescent="0.3">
      <c r="A10" s="11" t="s">
        <v>59</v>
      </c>
      <c r="B10" s="1">
        <f>AVERAGE('2024 Data'!B11:D11)</f>
        <v>129.73333333333332</v>
      </c>
      <c r="C10" s="1">
        <f>AVERAGE('2024 Data'!C11:E11)</f>
        <v>129.56666666666666</v>
      </c>
      <c r="D10" s="1">
        <f>AVERAGE('2024 Data'!D11:F11)</f>
        <v>129.70000000000002</v>
      </c>
      <c r="E10" s="1">
        <f>AVERAGE('2024 Data'!E11:G11)</f>
        <v>129.83333333333334</v>
      </c>
      <c r="F10" s="1">
        <f>AVERAGE('2024 Data'!F11:H11)</f>
        <v>129.76666666666668</v>
      </c>
      <c r="G10" s="1">
        <f>AVERAGE('2024 Data'!G11:I11)</f>
        <v>129.56666666666669</v>
      </c>
      <c r="H10" s="1">
        <f>AVERAGE('2024 Data'!H11:J11)</f>
        <v>129.53333333333333</v>
      </c>
      <c r="I10" s="1">
        <f>AVERAGE('2024 Data'!I11:K11)</f>
        <v>130.20000000000002</v>
      </c>
      <c r="J10" s="1">
        <f>AVERAGE('2024 Data'!J11:L11)</f>
        <v>131.1</v>
      </c>
      <c r="K10" s="1">
        <f>AVERAGE('2024 Data'!K11:M11)</f>
        <v>131.73333333333332</v>
      </c>
    </row>
    <row r="11" spans="1:11" x14ac:dyDescent="0.3">
      <c r="A11" s="11" t="s">
        <v>71</v>
      </c>
      <c r="B11" s="1">
        <f>AVERAGE('2024 Data'!B16:D16)</f>
        <v>106.73333333333333</v>
      </c>
      <c r="C11" s="1">
        <f>AVERAGE('2024 Data'!C16:E16)</f>
        <v>106.93333333333332</v>
      </c>
      <c r="D11" s="1">
        <f>AVERAGE('2024 Data'!D16:F16)</f>
        <v>107.10000000000001</v>
      </c>
      <c r="E11" s="1">
        <f>AVERAGE('2024 Data'!E16:G16)</f>
        <v>107.2</v>
      </c>
      <c r="F11" s="1">
        <f>AVERAGE('2024 Data'!F16:H16)</f>
        <v>107.3</v>
      </c>
      <c r="G11" s="1">
        <f>AVERAGE('2024 Data'!G16:I16)</f>
        <v>107.36666666666667</v>
      </c>
      <c r="H11" s="1">
        <f>AVERAGE('2024 Data'!H16:J16)</f>
        <v>107.43333333333334</v>
      </c>
      <c r="I11" s="1">
        <f>AVERAGE('2024 Data'!I16:K16)</f>
        <v>107.5</v>
      </c>
      <c r="J11" s="1">
        <f>AVERAGE('2024 Data'!J16:L16)</f>
        <v>107.56666666666666</v>
      </c>
      <c r="K11" s="1">
        <f>AVERAGE('2024 Data'!K16:M16)</f>
        <v>107.63333333333333</v>
      </c>
    </row>
    <row r="12" spans="1:11" x14ac:dyDescent="0.3">
      <c r="A12" s="11" t="s">
        <v>70</v>
      </c>
      <c r="B12" s="1">
        <f>AVERAGE('2024 Data'!B17:D17)</f>
        <v>122.96666666666665</v>
      </c>
      <c r="C12" s="1">
        <f>AVERAGE('2024 Data'!C17:E17)</f>
        <v>124</v>
      </c>
      <c r="D12" s="1">
        <f>AVERAGE('2024 Data'!D17:F17)</f>
        <v>124.3</v>
      </c>
      <c r="E12" s="1">
        <f>AVERAGE('2024 Data'!E17:G17)</f>
        <v>124.2</v>
      </c>
      <c r="F12" s="1">
        <f>AVERAGE('2024 Data'!F17:H17)</f>
        <v>124.06666666666666</v>
      </c>
      <c r="G12" s="1">
        <f>AVERAGE('2024 Data'!G17:I17)</f>
        <v>124.13333333333333</v>
      </c>
      <c r="H12" s="1">
        <f>AVERAGE('2024 Data'!H17:J17)</f>
        <v>123.66666666666667</v>
      </c>
      <c r="I12" s="1">
        <f>AVERAGE('2024 Data'!I17:K17)</f>
        <v>122.86666666666667</v>
      </c>
      <c r="J12" s="1">
        <f>AVERAGE('2024 Data'!J17:L17)</f>
        <v>122.06666666666666</v>
      </c>
      <c r="K12" s="1">
        <f>AVERAGE('2024 Data'!K17:M17)</f>
        <v>122.2</v>
      </c>
    </row>
  </sheetData>
  <phoneticPr fontId="3" type="noConversion"/>
  <pageMargins left="0.7" right="0.7" top="0.75" bottom="0.75" header="0.3" footer="0.3"/>
  <ignoredErrors>
    <ignoredError sqref="B9:K1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6940-18A1-4DAB-A145-5B852594CA02}">
  <dimension ref="A1:A2"/>
  <sheetViews>
    <sheetView workbookViewId="0"/>
  </sheetViews>
  <sheetFormatPr defaultRowHeight="14.4" x14ac:dyDescent="0.3"/>
  <cols>
    <col min="1" max="1" width="31.88671875" customWidth="1"/>
  </cols>
  <sheetData>
    <row r="1" spans="1:1" ht="17.399999999999999" customHeight="1" x14ac:dyDescent="0.3">
      <c r="A1" s="19" t="s">
        <v>72</v>
      </c>
    </row>
    <row r="2" spans="1:1" x14ac:dyDescent="0.3">
      <c r="A2" s="23">
        <f ca="1">NOW()</f>
        <v>46203.856273032405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2024 Data</vt:lpstr>
      <vt:lpstr>FOI ANALYSIS</vt:lpstr>
      <vt:lpstr>Moving Average</vt:lpstr>
      <vt:lpstr>Prices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Simone Matraxia</cp:lastModifiedBy>
  <dcterms:created xsi:type="dcterms:W3CDTF">2025-05-19T09:25:13Z</dcterms:created>
  <dcterms:modified xsi:type="dcterms:W3CDTF">2026-06-30T18:33:46Z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